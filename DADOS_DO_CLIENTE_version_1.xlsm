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lavi\Documents\codigos\"/>
    </mc:Choice>
  </mc:AlternateContent>
  <xr:revisionPtr revIDLastSave="0" documentId="13_ncr:1_{C71C8E99-7F74-4517-B0A5-B58DE627D875}" xr6:coauthVersionLast="47" xr6:coauthVersionMax="47" xr10:uidLastSave="{00000000-0000-0000-0000-000000000000}"/>
  <bookViews>
    <workbookView xWindow="732" yWindow="732" windowWidth="17280" windowHeight="8880" xr2:uid="{00000000-000D-0000-FFFF-FFFF00000000}"/>
  </bookViews>
  <sheets>
    <sheet name="Plan1" sheetId="1" r:id="rId1"/>
  </sheets>
  <functionGroups builtInGroupCount="19"/>
  <definedNames>
    <definedName name="cargaDeclarada" localSheetId="0">Plan1!$E$4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36" i="1"/>
  <c r="J37" i="1"/>
</calcChain>
</file>

<file path=xl/sharedStrings.xml><?xml version="1.0" encoding="utf-8"?>
<sst xmlns="http://schemas.openxmlformats.org/spreadsheetml/2006/main" count="46" uniqueCount="45">
  <si>
    <t>NOME:</t>
  </si>
  <si>
    <t>ENDEREÇO:</t>
  </si>
  <si>
    <t>COMPLEMENTO :</t>
  </si>
  <si>
    <t>CEP:</t>
  </si>
  <si>
    <t>BAIRRO:</t>
  </si>
  <si>
    <t>CIDADE:</t>
  </si>
  <si>
    <t>E-MAIL:</t>
  </si>
  <si>
    <t>CONTRATO :</t>
  </si>
  <si>
    <t>CONCESSIONARIA :</t>
  </si>
  <si>
    <t>LATITUDE</t>
  </si>
  <si>
    <t>LONGITUDE</t>
  </si>
  <si>
    <t>INVER. FABRIC.</t>
  </si>
  <si>
    <t xml:space="preserve">KWP </t>
  </si>
  <si>
    <t>MOD FABRIC.</t>
  </si>
  <si>
    <t>BENEFICIARIA</t>
  </si>
  <si>
    <t xml:space="preserve">PROTEÇÃO INV. </t>
  </si>
  <si>
    <t>INVER.  QUANTI.</t>
  </si>
  <si>
    <t>MOD. QUANT.</t>
  </si>
  <si>
    <t>DESC. DO KIT:</t>
  </si>
  <si>
    <t>POT. INVERSOR</t>
  </si>
  <si>
    <t>MOD. MODELO</t>
  </si>
  <si>
    <t>INVER. MODELO</t>
  </si>
  <si>
    <t>POT. MODULOS</t>
  </si>
  <si>
    <t xml:space="preserve">AREA </t>
  </si>
  <si>
    <t>CARGA DECLARADA</t>
  </si>
  <si>
    <t>N° CONTATO:</t>
  </si>
  <si>
    <t>PROTEÇÃO  ENTR.</t>
  </si>
  <si>
    <t>TENSÃO:</t>
  </si>
  <si>
    <t>CLASSIFICAÇÃO:</t>
  </si>
  <si>
    <t xml:space="preserve"> </t>
  </si>
  <si>
    <t>%</t>
  </si>
  <si>
    <t>CONTA CONTRATO</t>
  </si>
  <si>
    <t>TOTAL</t>
  </si>
  <si>
    <t>CABO mm²</t>
  </si>
  <si>
    <t>DATA DE NASC.</t>
  </si>
  <si>
    <t>RG:</t>
  </si>
  <si>
    <t>MONOFÁSICO</t>
  </si>
  <si>
    <t>COMERCIAL</t>
  </si>
  <si>
    <t>Prioridade 1</t>
  </si>
  <si>
    <t>COELBA</t>
  </si>
  <si>
    <t>tv segunda 2</t>
  </si>
  <si>
    <t>jdm fragoso</t>
  </si>
  <si>
    <t>paulista</t>
  </si>
  <si>
    <t xml:space="preserve"> empresa do jose</t>
  </si>
  <si>
    <t>CPF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</si>
</sst>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sz val="12"/>
      <color rgb="FF222222"/>
      <name val="Verdana"/>
      <family val="2"/>
    </font>
    <font>
      <u/>
      <sz val="11"/>
      <color theme="10"/>
      <name val="Verdana"/>
      <family val="2"/>
    </font>
    <font>
      <sz val="11"/>
      <name val="Verdana"/>
      <family val="2"/>
    </font>
    <font>
      <u/>
      <sz val="11"/>
      <color theme="1"/>
      <name val="Verdana"/>
      <family val="2"/>
    </font>
    <font>
      <b/>
      <sz val="11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43">
    <xf numFmtId="0" fontId="0" fillId="0" borderId="0" xfId="0"/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5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Font="1" applyFill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7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0" fontId="4" fillId="8" borderId="7" xfId="0" applyFont="1" applyFill="1" applyBorder="1" applyAlignment="1">
      <alignment horizontal="center" vertical="center"/>
    </xf>
    <xf numFmtId="9" fontId="5" fillId="8" borderId="6" xfId="2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9" fillId="7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9" fontId="5" fillId="5" borderId="0" xfId="2" applyFont="1" applyFill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4" fillId="4" borderId="0" xfId="0" applyFont="1" applyFill="1" applyAlignment="1">
      <alignment horizontal="center" vertical="center"/>
    </xf>
    <xf numFmtId="9" fontId="5" fillId="8" borderId="0" xfId="2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9" fontId="5" fillId="5" borderId="0" xfId="2" applyFont="1" applyFill="1" applyBorder="1" applyAlignment="1">
      <alignment horizontal="center" vertical="center"/>
    </xf>
    <xf numFmtId="0" fontId="1" fillId="5" borderId="0" xfId="1" applyFill="1" applyBorder="1" applyAlignment="1">
      <alignment horizontal="left" vertical="center"/>
    </xf>
    <xf numFmtId="0" fontId="7" fillId="5" borderId="0" xfId="1" applyFont="1" applyFill="1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14" fontId="4" fillId="8" borderId="0" xfId="0" applyNumberFormat="1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 wrapText="1"/>
    </xf>
    <xf numFmtId="0" fontId="6" fillId="5" borderId="0" xfId="0" applyFont="1" applyFill="1" applyAlignment="1">
      <alignment horizontal="left" vertical="center"/>
    </xf>
    <xf numFmtId="3" fontId="9" fillId="8" borderId="0" xfId="0" applyNumberFormat="1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</cellXfs>
  <cellStyles count="3">
    <cellStyle name="Hiperlink" xfId="1" builtinId="8"/>
    <cellStyle name="Normal" xfId="0" builtinId="0"/>
    <cellStyle name="Porcentagem" xfId="2" builtinId="5"/>
  </cellStyles>
  <dxfs count="18"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6" tint="-0.499984740745262"/>
        </patternFill>
      </fill>
    </dxf>
    <dxf>
      <fill>
        <patternFill>
          <bgColor rgb="FFFF99FF"/>
        </patternFill>
      </fill>
    </dxf>
    <dxf>
      <fill>
        <patternFill>
          <bgColor theme="6"/>
        </patternFill>
      </fill>
    </dxf>
    <dxf>
      <fill>
        <patternFill patternType="solid"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3333CC"/>
      <color rgb="FFA9ABF3"/>
      <color rgb="FF4536B8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752475</xdr:colOff>
      <xdr:row>3</xdr:row>
      <xdr:rowOff>238125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521686E2-E601-0F49-C2C2-789E8650CE23}"/>
            </a:ext>
          </a:extLst>
        </xdr:cNvPr>
        <xdr:cNvSpPr txBox="1"/>
      </xdr:nvSpPr>
      <xdr:spPr>
        <a:xfrm>
          <a:off x="9163050" y="628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</xdr:col>
      <xdr:colOff>8614</xdr:colOff>
      <xdr:row>40</xdr:row>
      <xdr:rowOff>235527</xdr:rowOff>
    </xdr:from>
    <xdr:to>
      <xdr:col>4</xdr:col>
      <xdr:colOff>922683</xdr:colOff>
      <xdr:row>43</xdr:row>
      <xdr:rowOff>51020</xdr:rowOff>
    </xdr:to>
    <xdr:sp macro="[0]!limp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F3CDB00-D3B4-33CF-4EA7-5944A235BE10}"/>
            </a:ext>
          </a:extLst>
        </xdr:cNvPr>
        <xdr:cNvSpPr/>
      </xdr:nvSpPr>
      <xdr:spPr>
        <a:xfrm>
          <a:off x="5564287" y="10044545"/>
          <a:ext cx="2590469" cy="494366"/>
        </a:xfrm>
        <a:prstGeom prst="roundRect">
          <a:avLst/>
        </a:prstGeom>
        <a:gradFill>
          <a:gsLst>
            <a:gs pos="0">
              <a:srgbClr val="C00000">
                <a:alpha val="64000"/>
              </a:srgbClr>
            </a:gs>
            <a:gs pos="39000">
              <a:srgbClr val="C00000">
                <a:alpha val="59000"/>
              </a:srgbClr>
            </a:gs>
            <a:gs pos="100000">
              <a:schemeClr val="accent2"/>
            </a:gs>
          </a:gsLst>
          <a:lin ang="5400000" scaled="1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LIMPAR FORMULARIO</a:t>
          </a:r>
        </a:p>
      </xdr:txBody>
    </xdr:sp>
    <xdr:clientData/>
  </xdr:twoCellAnchor>
  <xdr:twoCellAnchor>
    <xdr:from>
      <xdr:col>7</xdr:col>
      <xdr:colOff>897835</xdr:colOff>
      <xdr:row>41</xdr:row>
      <xdr:rowOff>55418</xdr:rowOff>
    </xdr:from>
    <xdr:to>
      <xdr:col>8</xdr:col>
      <xdr:colOff>1850335</xdr:colOff>
      <xdr:row>43</xdr:row>
      <xdr:rowOff>94421</xdr:rowOff>
    </xdr:to>
    <xdr:sp macro="[0]!CopiarAcimaDoBot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DD94BE8-4A65-40BD-A423-CFBE5362DDCC}"/>
            </a:ext>
          </a:extLst>
        </xdr:cNvPr>
        <xdr:cNvSpPr/>
      </xdr:nvSpPr>
      <xdr:spPr>
        <a:xfrm>
          <a:off x="12452526" y="10113818"/>
          <a:ext cx="2905991" cy="468494"/>
        </a:xfrm>
        <a:prstGeom prst="roundRect">
          <a:avLst/>
        </a:prstGeom>
        <a:ln>
          <a:noFill/>
        </a:ln>
        <a:effectLst>
          <a:outerShdw blurRad="114300" dist="76200" dir="4260000" algn="ctr">
            <a:srgbClr val="000000">
              <a:alpha val="4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COPIAR</a:t>
          </a:r>
          <a:endParaRPr lang="pt-BR" sz="2400"/>
        </a:p>
      </xdr:txBody>
    </xdr:sp>
    <xdr:clientData/>
  </xdr:twoCellAnchor>
  <xdr:twoCellAnchor editAs="oneCell">
    <xdr:from>
      <xdr:col>7</xdr:col>
      <xdr:colOff>394606</xdr:colOff>
      <xdr:row>2</xdr:row>
      <xdr:rowOff>527543</xdr:rowOff>
    </xdr:from>
    <xdr:to>
      <xdr:col>8</xdr:col>
      <xdr:colOff>1771036</xdr:colOff>
      <xdr:row>14</xdr:row>
      <xdr:rowOff>239922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9E90FB5A-707B-A4D1-63E9-A7B385A30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1642" y="1806614"/>
          <a:ext cx="3249268" cy="3074144"/>
        </a:xfrm>
        <a:prstGeom prst="rect">
          <a:avLst/>
        </a:prstGeom>
      </xdr:spPr>
    </xdr:pic>
    <xdr:clientData/>
  </xdr:twoCellAnchor>
  <xdr:twoCellAnchor>
    <xdr:from>
      <xdr:col>2</xdr:col>
      <xdr:colOff>16566</xdr:colOff>
      <xdr:row>0</xdr:row>
      <xdr:rowOff>423918</xdr:rowOff>
    </xdr:from>
    <xdr:to>
      <xdr:col>9</xdr:col>
      <xdr:colOff>778567</xdr:colOff>
      <xdr:row>2</xdr:row>
      <xdr:rowOff>25600</xdr:rowOff>
    </xdr:to>
    <xdr:sp macro="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id="{F12068C0-DF3F-583D-CB1C-B549033F320E}"/>
            </a:ext>
          </a:extLst>
        </xdr:cNvPr>
        <xdr:cNvSpPr/>
      </xdr:nvSpPr>
      <xdr:spPr>
        <a:xfrm>
          <a:off x="4605884" y="423918"/>
          <a:ext cx="10945092" cy="865909"/>
        </a:xfrm>
        <a:prstGeom prst="round2Same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5400000" scaled="1"/>
          <a:tileRect/>
        </a:gradFill>
        <a:ln>
          <a:noFill/>
        </a:ln>
        <a:effectLst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516834</xdr:colOff>
      <xdr:row>41</xdr:row>
      <xdr:rowOff>13854</xdr:rowOff>
    </xdr:from>
    <xdr:to>
      <xdr:col>7</xdr:col>
      <xdr:colOff>609599</xdr:colOff>
      <xdr:row>43</xdr:row>
      <xdr:rowOff>79512</xdr:rowOff>
    </xdr:to>
    <xdr:sp macro="[0]!ExecutarPytho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7D3E704-9469-BD25-B3DB-8DF3EAC7F4C2}"/>
            </a:ext>
          </a:extLst>
        </xdr:cNvPr>
        <xdr:cNvSpPr/>
      </xdr:nvSpPr>
      <xdr:spPr>
        <a:xfrm>
          <a:off x="8829561" y="10072254"/>
          <a:ext cx="3334729" cy="495149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14300" dist="76200" dir="4260000" algn="ctr">
            <a:srgbClr val="000000">
              <a:alpha val="4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Gerar Procuração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XFC132"/>
  <sheetViews>
    <sheetView showGridLines="0" tabSelected="1" topLeftCell="B27" zoomScale="55" zoomScaleNormal="55" workbookViewId="0">
      <selection activeCell="E18" sqref="E18:F18"/>
    </sheetView>
  </sheetViews>
  <sheetFormatPr defaultColWidth="9.109375" defaultRowHeight="13.8" zeroHeight="1" outlineLevelCol="1"/>
  <cols>
    <col min="1" max="1" width="9.109375" style="12" customWidth="1"/>
    <col min="2" max="2" width="59.6640625" style="12" customWidth="1"/>
    <col min="3" max="3" width="12.33203125" style="1" customWidth="1"/>
    <col min="4" max="4" width="24.44140625" style="1" customWidth="1"/>
    <col min="5" max="5" width="15.6640625" style="1" customWidth="1"/>
    <col min="6" max="6" width="21.6640625" style="1" bestFit="1" customWidth="1"/>
    <col min="7" max="7" width="25.6640625" style="1" customWidth="1"/>
    <col min="8" max="9" width="28.5546875" style="1" customWidth="1"/>
    <col min="10" max="10" width="11.88671875" style="1" customWidth="1"/>
    <col min="11" max="11" width="142.5546875" style="12" customWidth="1"/>
    <col min="12" max="12" width="128.88671875" style="12" customWidth="1" outlineLevel="1"/>
    <col min="13" max="15" width="0" style="1" hidden="1" customWidth="1"/>
    <col min="16" max="16" width="9.109375" style="1" hidden="1" customWidth="1"/>
    <col min="17" max="17" width="0" style="1" hidden="1" customWidth="1"/>
    <col min="18" max="18" width="9.109375" style="1" hidden="1" customWidth="1"/>
    <col min="19" max="138" width="0" style="1" hidden="1" customWidth="1"/>
    <col min="139" max="16381" width="9.109375" style="1" hidden="1" customWidth="1"/>
    <col min="16382" max="16382" width="1.44140625" style="1" hidden="1" customWidth="1"/>
    <col min="16383" max="16383" width="4.6640625" style="1" hidden="1" customWidth="1"/>
    <col min="16384" max="16384" width="14.44140625" style="1" hidden="1" customWidth="1"/>
  </cols>
  <sheetData>
    <row r="1" spans="3:10" ht="10.5" customHeight="1">
      <c r="C1" s="12"/>
      <c r="D1" s="12"/>
      <c r="E1" s="12"/>
      <c r="F1" s="12"/>
      <c r="G1" s="12"/>
      <c r="H1" s="12"/>
      <c r="I1" s="12"/>
      <c r="J1" s="12"/>
    </row>
    <row r="2" spans="3:10" ht="25.5" customHeight="1">
      <c r="C2" s="12"/>
      <c r="D2" s="12"/>
      <c r="E2" s="12"/>
      <c r="F2" s="12"/>
      <c r="G2" s="12"/>
      <c r="H2" s="12"/>
      <c r="I2" s="12"/>
      <c r="J2" s="12"/>
    </row>
    <row r="3" spans="3:10" ht="11.25" customHeight="1">
      <c r="C3" s="2"/>
      <c r="D3" s="3"/>
      <c r="E3" s="3"/>
      <c r="F3" s="3"/>
      <c r="G3" s="3"/>
      <c r="H3" s="3"/>
      <c r="I3" s="3"/>
      <c r="J3" s="4"/>
    </row>
    <row r="4" spans="3:10" ht="20.25" customHeight="1">
      <c r="C4" s="2"/>
      <c r="D4" s="17" t="s">
        <v>24</v>
      </c>
      <c r="E4" s="29"/>
      <c r="F4" s="29"/>
      <c r="G4" s="3"/>
      <c r="H4" s="3"/>
      <c r="I4" s="3"/>
      <c r="J4" s="3"/>
    </row>
    <row r="5" spans="3:10" ht="20.25" customHeight="1">
      <c r="C5" s="2"/>
      <c r="D5" s="18" t="s">
        <v>12</v>
      </c>
      <c r="E5" s="34">
        <f>E33*E34/1000</f>
        <v>0.754</v>
      </c>
      <c r="F5" s="34"/>
      <c r="G5" s="3"/>
      <c r="H5" s="3"/>
      <c r="I5" s="3"/>
      <c r="J5" s="3"/>
    </row>
    <row r="6" spans="3:10" ht="20.25" customHeight="1">
      <c r="C6" s="2"/>
      <c r="D6" s="17" t="s">
        <v>0</v>
      </c>
      <c r="E6" s="36" t="s">
        <v>43</v>
      </c>
      <c r="F6" s="36"/>
      <c r="G6" s="36"/>
      <c r="H6" s="3"/>
      <c r="I6" s="3"/>
      <c r="J6" s="3"/>
    </row>
    <row r="7" spans="3:10" ht="20.25" customHeight="1">
      <c r="C7" s="2"/>
      <c r="D7" s="17" t="s">
        <v>35</v>
      </c>
      <c r="E7" s="41"/>
      <c r="F7" s="42"/>
      <c r="G7" s="42"/>
      <c r="H7" s="3"/>
      <c r="I7" s="3"/>
      <c r="J7" s="3"/>
    </row>
    <row r="8" spans="3:10" ht="20.25" customHeight="1">
      <c r="C8" s="2"/>
      <c r="D8" s="17" t="s">
        <v>44</v>
      </c>
      <c r="E8" s="36">
        <v>1254345635465</v>
      </c>
      <c r="F8" s="36"/>
      <c r="G8" s="36"/>
      <c r="H8" s="3"/>
      <c r="I8" s="3"/>
      <c r="J8" s="3"/>
    </row>
    <row r="9" spans="3:10" ht="20.25" customHeight="1">
      <c r="C9" s="2"/>
      <c r="D9" s="17" t="s">
        <v>34</v>
      </c>
      <c r="E9" s="37"/>
      <c r="F9" s="38"/>
      <c r="G9" s="38"/>
      <c r="H9" s="3"/>
      <c r="I9" s="3"/>
      <c r="J9" s="3"/>
    </row>
    <row r="10" spans="3:10" ht="20.25" customHeight="1">
      <c r="C10" s="2"/>
      <c r="D10" s="17" t="s">
        <v>25</v>
      </c>
      <c r="E10" s="39">
        <v>2324332</v>
      </c>
      <c r="F10" s="40"/>
      <c r="G10" s="40"/>
      <c r="H10" s="3"/>
      <c r="I10" s="3"/>
      <c r="J10" s="3"/>
    </row>
    <row r="11" spans="3:10" ht="20.25" customHeight="1">
      <c r="C11" s="2"/>
      <c r="D11" s="18" t="s">
        <v>1</v>
      </c>
      <c r="E11" s="38" t="s">
        <v>40</v>
      </c>
      <c r="F11" s="38"/>
      <c r="G11" s="38"/>
      <c r="H11" s="3"/>
      <c r="I11" s="3"/>
      <c r="J11" s="3"/>
    </row>
    <row r="12" spans="3:10" ht="20.25" customHeight="1">
      <c r="C12" s="2"/>
      <c r="D12" s="17" t="s">
        <v>2</v>
      </c>
      <c r="E12" s="36"/>
      <c r="F12" s="36"/>
      <c r="G12" s="36"/>
      <c r="H12" s="3"/>
      <c r="I12" s="3"/>
      <c r="J12" s="3"/>
    </row>
    <row r="13" spans="3:10" ht="20.25" customHeight="1">
      <c r="C13" s="2"/>
      <c r="D13" s="18" t="s">
        <v>3</v>
      </c>
      <c r="E13" s="38">
        <v>2323452</v>
      </c>
      <c r="F13" s="38"/>
      <c r="G13" s="38"/>
      <c r="H13" s="3"/>
      <c r="I13" s="3"/>
      <c r="J13" s="3"/>
    </row>
    <row r="14" spans="3:10" ht="20.25" customHeight="1">
      <c r="C14" s="2"/>
      <c r="D14" s="17" t="s">
        <v>4</v>
      </c>
      <c r="E14" s="36" t="s">
        <v>41</v>
      </c>
      <c r="F14" s="36"/>
      <c r="G14" s="36"/>
      <c r="H14" s="3"/>
      <c r="I14" s="3"/>
      <c r="J14" s="3"/>
    </row>
    <row r="15" spans="3:10" ht="20.25" customHeight="1">
      <c r="C15" s="2"/>
      <c r="D15" s="18" t="s">
        <v>5</v>
      </c>
      <c r="E15" s="38" t="s">
        <v>42</v>
      </c>
      <c r="F15" s="38"/>
      <c r="G15" s="38"/>
      <c r="H15" s="3"/>
      <c r="I15" s="3"/>
      <c r="J15" s="3"/>
    </row>
    <row r="16" spans="3:10" ht="20.25" customHeight="1">
      <c r="C16" s="2"/>
      <c r="D16" s="17" t="s">
        <v>6</v>
      </c>
      <c r="E16" s="32"/>
      <c r="F16" s="33"/>
      <c r="G16" s="33"/>
      <c r="H16" s="3"/>
      <c r="I16" s="3"/>
      <c r="J16" s="3"/>
    </row>
    <row r="17" spans="2:13" ht="20.25" customHeight="1">
      <c r="C17" s="2"/>
      <c r="D17" s="3"/>
      <c r="E17" s="7"/>
      <c r="F17" s="7"/>
      <c r="G17" s="7"/>
      <c r="H17" s="3"/>
      <c r="I17" s="3"/>
      <c r="J17" s="3"/>
    </row>
    <row r="18" spans="2:13" ht="20.25" customHeight="1">
      <c r="C18" s="2"/>
      <c r="D18" s="18" t="s">
        <v>8</v>
      </c>
      <c r="E18" s="34" t="s">
        <v>39</v>
      </c>
      <c r="F18" s="34"/>
      <c r="G18" s="3"/>
      <c r="H18" s="3"/>
      <c r="I18" s="3"/>
      <c r="J18" s="3"/>
    </row>
    <row r="19" spans="2:13" ht="20.25" customHeight="1">
      <c r="C19" s="2"/>
      <c r="D19" s="17" t="s">
        <v>7</v>
      </c>
      <c r="E19" s="29">
        <v>91568012</v>
      </c>
      <c r="F19" s="29"/>
      <c r="G19" s="3"/>
      <c r="H19" s="3"/>
      <c r="I19" s="3"/>
      <c r="J19" s="3"/>
      <c r="M19" s="1" t="s">
        <v>29</v>
      </c>
    </row>
    <row r="20" spans="2:13" ht="20.25" customHeight="1">
      <c r="C20" s="2"/>
      <c r="D20" s="18" t="s">
        <v>27</v>
      </c>
      <c r="E20" s="35" t="s">
        <v>36</v>
      </c>
      <c r="F20" s="35"/>
      <c r="G20" s="3"/>
      <c r="H20" s="3"/>
      <c r="I20" s="3"/>
      <c r="J20" s="3"/>
    </row>
    <row r="21" spans="2:13" ht="20.25" customHeight="1">
      <c r="C21" s="2"/>
      <c r="D21" s="17" t="s">
        <v>28</v>
      </c>
      <c r="E21" s="29" t="s">
        <v>37</v>
      </c>
      <c r="F21" s="29"/>
      <c r="G21" s="3"/>
      <c r="H21" s="3"/>
      <c r="I21" s="3"/>
      <c r="J21" s="3"/>
    </row>
    <row r="22" spans="2:13" ht="20.25" customHeight="1">
      <c r="C22" s="2"/>
      <c r="D22" s="3"/>
      <c r="E22" s="7"/>
      <c r="F22" s="3"/>
      <c r="G22" s="3"/>
      <c r="H22" s="3"/>
      <c r="I22" s="3"/>
      <c r="J22" s="3"/>
    </row>
    <row r="23" spans="2:13" ht="20.25" customHeight="1">
      <c r="C23" s="2"/>
      <c r="D23" s="5"/>
      <c r="E23" s="7"/>
      <c r="F23" s="3"/>
      <c r="G23" s="3"/>
      <c r="H23" s="8"/>
      <c r="I23" s="3"/>
      <c r="J23" s="3"/>
    </row>
    <row r="24" spans="2:13" ht="20.25" customHeight="1">
      <c r="C24" s="2"/>
      <c r="D24" s="18" t="s">
        <v>9</v>
      </c>
      <c r="E24" s="34">
        <v>17</v>
      </c>
      <c r="F24" s="34"/>
      <c r="G24" s="3"/>
      <c r="H24" s="8"/>
      <c r="I24" s="3"/>
      <c r="J24" s="3"/>
    </row>
    <row r="25" spans="2:13" ht="20.25" customHeight="1">
      <c r="C25" s="2"/>
      <c r="D25" s="17" t="s">
        <v>10</v>
      </c>
      <c r="E25" s="29">
        <v>18</v>
      </c>
      <c r="F25" s="29"/>
      <c r="G25" s="3"/>
      <c r="H25" s="3"/>
      <c r="I25" s="3"/>
      <c r="J25" s="3"/>
    </row>
    <row r="26" spans="2:13" ht="20.25" customHeight="1">
      <c r="C26" s="2"/>
      <c r="D26" s="5"/>
      <c r="E26" s="7"/>
      <c r="F26" s="3"/>
      <c r="G26" s="3"/>
      <c r="H26" s="3"/>
      <c r="I26" s="3"/>
      <c r="J26" s="3"/>
    </row>
    <row r="27" spans="2:13" ht="20.25" customHeight="1">
      <c r="B27" s="22"/>
      <c r="C27" s="2"/>
      <c r="D27" s="18" t="s">
        <v>26</v>
      </c>
      <c r="E27" s="19">
        <v>19</v>
      </c>
      <c r="F27" s="18" t="s">
        <v>15</v>
      </c>
      <c r="G27" s="19">
        <v>20</v>
      </c>
      <c r="H27" s="18" t="s">
        <v>33</v>
      </c>
      <c r="I27" s="15">
        <v>4</v>
      </c>
      <c r="J27" s="3"/>
    </row>
    <row r="28" spans="2:13" ht="20.25" customHeight="1">
      <c r="C28" s="2"/>
      <c r="D28" s="5"/>
      <c r="E28" s="7"/>
      <c r="F28" s="3"/>
      <c r="G28" s="3"/>
      <c r="H28" s="3"/>
      <c r="I28" s="3"/>
      <c r="J28" s="3"/>
    </row>
    <row r="29" spans="2:13" ht="20.25" customHeight="1">
      <c r="C29" s="2"/>
      <c r="D29" s="17" t="s">
        <v>18</v>
      </c>
      <c r="E29" s="3"/>
      <c r="F29" s="3"/>
      <c r="G29" s="3"/>
      <c r="H29" s="3"/>
      <c r="I29" s="3"/>
      <c r="J29" s="3"/>
    </row>
    <row r="30" spans="2:13" ht="20.25" customHeight="1">
      <c r="C30" s="2"/>
      <c r="D30" s="23"/>
      <c r="E30" s="3"/>
      <c r="F30" s="3"/>
      <c r="G30" s="3"/>
      <c r="H30" s="3"/>
      <c r="I30" s="3"/>
      <c r="J30" s="3"/>
    </row>
    <row r="31" spans="2:13" ht="20.25" customHeight="1">
      <c r="C31" s="2"/>
      <c r="D31" s="18" t="s">
        <v>16</v>
      </c>
      <c r="E31" s="16">
        <v>22</v>
      </c>
      <c r="F31" s="18" t="s">
        <v>11</v>
      </c>
      <c r="G31" s="19">
        <v>23</v>
      </c>
      <c r="H31" s="18" t="s">
        <v>21</v>
      </c>
      <c r="I31" s="15">
        <v>24</v>
      </c>
      <c r="J31" s="3"/>
    </row>
    <row r="32" spans="2:13" ht="20.25" customHeight="1">
      <c r="C32" s="2"/>
      <c r="D32" s="17" t="s">
        <v>19</v>
      </c>
      <c r="E32" s="13">
        <v>25</v>
      </c>
      <c r="F32" s="3"/>
      <c r="G32" s="3"/>
      <c r="H32" s="3"/>
      <c r="I32" s="3"/>
      <c r="J32" s="3"/>
    </row>
    <row r="33" spans="3:10" ht="20.25" customHeight="1">
      <c r="C33" s="2"/>
      <c r="D33" s="18" t="s">
        <v>17</v>
      </c>
      <c r="E33" s="16">
        <v>26</v>
      </c>
      <c r="F33" s="18" t="s">
        <v>13</v>
      </c>
      <c r="G33" s="19">
        <v>27</v>
      </c>
      <c r="H33" s="18" t="s">
        <v>20</v>
      </c>
      <c r="I33" s="15">
        <v>28</v>
      </c>
      <c r="J33" s="3"/>
    </row>
    <row r="34" spans="3:10" ht="20.25" customHeight="1">
      <c r="C34" s="2"/>
      <c r="D34" s="17" t="s">
        <v>22</v>
      </c>
      <c r="E34" s="13">
        <v>29</v>
      </c>
      <c r="F34" s="3"/>
      <c r="G34" s="3"/>
      <c r="H34" s="3"/>
      <c r="I34" s="3"/>
      <c r="J34" s="3"/>
    </row>
    <row r="35" spans="3:10" ht="20.25" customHeight="1">
      <c r="C35" s="2"/>
      <c r="D35" s="3"/>
      <c r="E35" s="3"/>
      <c r="F35" s="3"/>
      <c r="G35" s="3"/>
      <c r="H35" s="3"/>
      <c r="I35" s="3"/>
      <c r="J35" s="3"/>
    </row>
    <row r="36" spans="3:10" ht="20.25" customHeight="1">
      <c r="C36" s="2"/>
      <c r="D36" s="18" t="s">
        <v>23</v>
      </c>
      <c r="E36" s="14">
        <f>E33*2.5</f>
        <v>65</v>
      </c>
      <c r="F36" s="3" t="s">
        <v>29</v>
      </c>
      <c r="G36" s="3"/>
      <c r="H36" s="3"/>
      <c r="I36" s="3"/>
      <c r="J36" s="3"/>
    </row>
    <row r="37" spans="3:10" ht="20.25" customHeight="1">
      <c r="C37" s="2"/>
      <c r="D37" s="3"/>
      <c r="E37" s="3"/>
      <c r="F37" s="3"/>
      <c r="G37" s="3"/>
      <c r="H37" s="3"/>
      <c r="I37" s="30" t="s">
        <v>32</v>
      </c>
      <c r="J37" s="31">
        <f>SUMPRODUCT(F:F)</f>
        <v>0</v>
      </c>
    </row>
    <row r="38" spans="3:10" ht="20.25" customHeight="1">
      <c r="C38" s="2"/>
      <c r="D38" s="17" t="s">
        <v>14</v>
      </c>
      <c r="E38" s="21">
        <v>1</v>
      </c>
      <c r="F38" s="20" t="s">
        <v>30</v>
      </c>
      <c r="G38" s="6" t="s">
        <v>31</v>
      </c>
      <c r="H38" s="3"/>
      <c r="I38" s="30"/>
      <c r="J38" s="31"/>
    </row>
    <row r="39" spans="3:10" ht="20.25" customHeight="1">
      <c r="C39" s="2"/>
      <c r="D39" s="25"/>
      <c r="E39" s="26" t="s">
        <v>38</v>
      </c>
      <c r="F39" s="27"/>
      <c r="G39" s="28"/>
      <c r="H39" s="3"/>
      <c r="I39" s="6"/>
      <c r="J39" s="24"/>
    </row>
    <row r="40" spans="3:10" ht="20.25" customHeight="1">
      <c r="C40" s="2"/>
      <c r="D40" s="3"/>
      <c r="E40" s="3"/>
      <c r="F40" s="3"/>
      <c r="G40" s="3"/>
      <c r="H40" s="3"/>
      <c r="I40" s="3"/>
      <c r="J40" s="4"/>
    </row>
    <row r="41" spans="3:10" ht="20.25" customHeight="1">
      <c r="C41" s="2"/>
      <c r="D41" s="3"/>
      <c r="E41" s="3"/>
      <c r="F41" s="3"/>
      <c r="G41" s="3"/>
      <c r="H41" s="3"/>
      <c r="I41" s="3"/>
      <c r="J41" s="4"/>
    </row>
    <row r="42" spans="3:10" ht="20.25" customHeight="1">
      <c r="C42" s="2"/>
      <c r="D42" s="3"/>
      <c r="E42" s="3"/>
      <c r="F42" s="3"/>
      <c r="G42" s="3"/>
      <c r="H42" s="3"/>
      <c r="I42" s="3"/>
      <c r="J42" s="4"/>
    </row>
    <row r="43" spans="3:10">
      <c r="C43" s="2"/>
      <c r="D43" s="3"/>
      <c r="E43" s="3"/>
      <c r="F43" s="3"/>
      <c r="G43" s="3"/>
      <c r="H43" s="3"/>
      <c r="I43" s="3"/>
      <c r="J43" s="4"/>
    </row>
    <row r="44" spans="3:10" ht="14.4" thickBot="1">
      <c r="C44" s="9"/>
      <c r="D44" s="10"/>
      <c r="E44" s="10"/>
      <c r="F44" s="10"/>
      <c r="G44" s="10"/>
      <c r="H44" s="10"/>
      <c r="I44" s="10"/>
      <c r="J44" s="11"/>
    </row>
    <row r="45" spans="3:10">
      <c r="C45" s="12"/>
      <c r="D45" s="12"/>
      <c r="E45" s="12"/>
      <c r="F45" s="12"/>
      <c r="G45" s="12"/>
      <c r="H45" s="12"/>
      <c r="I45" s="12"/>
      <c r="J45" s="12"/>
    </row>
    <row r="46" spans="3:10">
      <c r="C46" s="12"/>
      <c r="D46" s="12"/>
      <c r="E46" s="12"/>
      <c r="F46" s="12"/>
      <c r="G46" s="12"/>
      <c r="H46" s="12"/>
      <c r="I46" s="12"/>
      <c r="J46" s="12"/>
    </row>
    <row r="47" spans="3:10">
      <c r="C47" s="12"/>
      <c r="D47" s="12"/>
      <c r="E47" s="12"/>
      <c r="F47" s="12"/>
      <c r="G47" s="12"/>
      <c r="H47" s="12"/>
      <c r="I47" s="12"/>
      <c r="J47" s="12"/>
    </row>
    <row r="48" spans="3:10">
      <c r="C48" s="12"/>
      <c r="D48" s="12"/>
      <c r="E48" s="12"/>
      <c r="F48" s="12"/>
      <c r="G48" s="12"/>
      <c r="H48" s="12"/>
      <c r="I48" s="12"/>
      <c r="J48" s="12"/>
    </row>
    <row r="49" spans="3:10">
      <c r="C49" s="12"/>
      <c r="D49" s="12"/>
      <c r="E49" s="12"/>
      <c r="F49" s="12"/>
      <c r="G49" s="12"/>
      <c r="H49" s="12"/>
      <c r="I49" s="12"/>
      <c r="J49" s="12"/>
    </row>
    <row r="50" spans="3:10">
      <c r="C50" s="12"/>
      <c r="D50" s="12"/>
      <c r="E50" s="12"/>
      <c r="F50" s="12"/>
      <c r="G50" s="12"/>
      <c r="H50" s="12"/>
      <c r="I50" s="12"/>
      <c r="J50" s="12"/>
    </row>
    <row r="51" spans="3:10">
      <c r="C51" s="12"/>
      <c r="D51" s="12"/>
      <c r="E51" s="12"/>
      <c r="F51" s="12"/>
      <c r="G51" s="12"/>
      <c r="H51" s="12"/>
      <c r="I51" s="12"/>
      <c r="J51" s="12"/>
    </row>
    <row r="52" spans="3:10">
      <c r="C52" s="12"/>
      <c r="D52" s="12"/>
      <c r="E52" s="12"/>
      <c r="F52" s="12"/>
      <c r="G52" s="12"/>
      <c r="H52" s="12"/>
      <c r="I52" s="12"/>
      <c r="J52" s="12"/>
    </row>
    <row r="53" spans="3:10">
      <c r="C53" s="12"/>
      <c r="D53" s="12"/>
      <c r="E53" s="12"/>
      <c r="F53" s="12"/>
      <c r="G53" s="12"/>
      <c r="H53" s="12"/>
      <c r="I53" s="12"/>
      <c r="J53" s="12"/>
    </row>
    <row r="54" spans="3:10">
      <c r="C54" s="12"/>
      <c r="D54" s="12"/>
      <c r="E54" s="12"/>
      <c r="F54" s="12"/>
      <c r="G54" s="12"/>
      <c r="H54" s="12"/>
      <c r="I54" s="12"/>
      <c r="J54" s="12"/>
    </row>
    <row r="55" spans="3:10">
      <c r="C55" s="12"/>
      <c r="D55" s="12"/>
      <c r="E55" s="12"/>
      <c r="F55" s="12"/>
      <c r="G55" s="12"/>
      <c r="H55" s="12"/>
      <c r="I55" s="12"/>
      <c r="J55" s="12"/>
    </row>
    <row r="56" spans="3:10">
      <c r="C56" s="12"/>
      <c r="D56" s="12"/>
      <c r="E56" s="12"/>
      <c r="F56" s="12"/>
      <c r="G56" s="12"/>
      <c r="H56" s="12"/>
      <c r="I56" s="12"/>
      <c r="J56" s="12"/>
    </row>
    <row r="57" spans="3:10">
      <c r="C57" s="12"/>
      <c r="D57" s="12"/>
      <c r="E57" s="12"/>
      <c r="F57" s="12"/>
      <c r="G57" s="12"/>
      <c r="H57" s="12"/>
      <c r="I57" s="12"/>
      <c r="J57" s="12"/>
    </row>
    <row r="58" spans="3:10">
      <c r="C58" s="12"/>
      <c r="D58" s="12"/>
      <c r="E58" s="12"/>
      <c r="F58" s="12"/>
      <c r="G58" s="12"/>
      <c r="H58" s="12"/>
      <c r="I58" s="12"/>
      <c r="J58" s="12"/>
    </row>
    <row r="59" spans="3:10">
      <c r="C59" s="12"/>
      <c r="D59" s="12"/>
      <c r="E59" s="12"/>
      <c r="F59" s="12"/>
      <c r="G59" s="12"/>
      <c r="H59" s="12"/>
      <c r="I59" s="12"/>
      <c r="J59" s="12"/>
    </row>
    <row r="60" spans="3:10">
      <c r="C60" s="12"/>
      <c r="D60" s="12"/>
      <c r="E60" s="12"/>
      <c r="F60" s="12"/>
      <c r="G60" s="12"/>
      <c r="H60" s="12"/>
      <c r="I60" s="12"/>
      <c r="J60" s="12"/>
    </row>
    <row r="61" spans="3:10">
      <c r="C61" s="12"/>
      <c r="D61" s="12"/>
      <c r="E61" s="12"/>
      <c r="F61" s="12"/>
      <c r="G61" s="12"/>
      <c r="H61" s="12"/>
      <c r="I61" s="12"/>
      <c r="J61" s="12"/>
    </row>
    <row r="62" spans="3:10">
      <c r="C62" s="12"/>
      <c r="D62" s="12"/>
      <c r="E62" s="12"/>
      <c r="F62" s="12"/>
      <c r="G62" s="12"/>
      <c r="H62" s="12"/>
      <c r="I62" s="12"/>
      <c r="J62" s="12"/>
    </row>
    <row r="63" spans="3:10">
      <c r="C63" s="12"/>
      <c r="D63" s="12"/>
      <c r="E63" s="12"/>
      <c r="F63" s="12"/>
      <c r="G63" s="12"/>
      <c r="H63" s="12"/>
      <c r="I63" s="12"/>
      <c r="J63" s="12"/>
    </row>
    <row r="64" spans="3:10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</sheetData>
  <mergeCells count="21">
    <mergeCell ref="E4:F4"/>
    <mergeCell ref="E5:F5"/>
    <mergeCell ref="E6:G6"/>
    <mergeCell ref="E9:G9"/>
    <mergeCell ref="E24:F24"/>
    <mergeCell ref="E14:G14"/>
    <mergeCell ref="E15:G15"/>
    <mergeCell ref="E10:G10"/>
    <mergeCell ref="E11:G11"/>
    <mergeCell ref="E12:G12"/>
    <mergeCell ref="E13:G13"/>
    <mergeCell ref="E8:G8"/>
    <mergeCell ref="E7:G7"/>
    <mergeCell ref="E25:F25"/>
    <mergeCell ref="I37:I38"/>
    <mergeCell ref="J37:J38"/>
    <mergeCell ref="E16:G16"/>
    <mergeCell ref="E18:F18"/>
    <mergeCell ref="E19:F19"/>
    <mergeCell ref="E20:F20"/>
    <mergeCell ref="E21:F21"/>
  </mergeCells>
  <phoneticPr fontId="2" type="noConversion"/>
  <conditionalFormatting sqref="E38:E39">
    <cfRule type="containsText" dxfId="17" priority="17" operator="containsText" text="P">
      <formula>NOT(ISERROR(SEARCH("P",E38)))</formula>
    </cfRule>
    <cfRule type="cellIs" dxfId="16" priority="18" operator="greaterThan">
      <formula>0</formula>
    </cfRule>
  </conditionalFormatting>
  <conditionalFormatting sqref="E18">
    <cfRule type="containsText" dxfId="15" priority="10" operator="containsText" text="ENEL">
      <formula>NOT(ISERROR(SEARCH("ENEL",E18)))</formula>
    </cfRule>
    <cfRule type="containsText" dxfId="14" priority="11" operator="containsText" text="COSERN">
      <formula>NOT(ISERROR(SEARCH("COSERN",E18)))</formula>
    </cfRule>
    <cfRule type="containsText" dxfId="13" priority="12" operator="containsText" text="ENERGISA">
      <formula>NOT(ISERROR(SEARCH("ENERGISA",E18)))</formula>
    </cfRule>
    <cfRule type="containsText" dxfId="12" priority="13" operator="containsText" text="EQUATORIAL">
      <formula>NOT(ISERROR(SEARCH("EQUATORIAL",E18)))</formula>
    </cfRule>
    <cfRule type="containsText" dxfId="11" priority="14" operator="containsText" text="COELBA">
      <formula>NOT(ISERROR(SEARCH("COELBA",E18)))</formula>
    </cfRule>
    <cfRule type="containsText" dxfId="10" priority="15" operator="containsText" text="CELPE 2">
      <formula>NOT(ISERROR(SEARCH("CELPE 2",E18)))</formula>
    </cfRule>
    <cfRule type="containsText" dxfId="9" priority="16" operator="containsText" text="CELPE 1">
      <formula>NOT(ISERROR(SEARCH("CELPE 1",E18)))</formula>
    </cfRule>
  </conditionalFormatting>
  <conditionalFormatting sqref="I37">
    <cfRule type="containsBlanks" dxfId="8" priority="19">
      <formula>LEN(TRIM(I37))=0</formula>
    </cfRule>
  </conditionalFormatting>
  <conditionalFormatting sqref="J37">
    <cfRule type="containsBlanks" dxfId="7" priority="8">
      <formula>LEN(TRIM(J37))=0</formula>
    </cfRule>
  </conditionalFormatting>
  <conditionalFormatting sqref="G38:G39">
    <cfRule type="containsText" dxfId="6" priority="6" operator="containsText" text="CONTA CONTRATO">
      <formula>NOT(ISERROR(SEARCH("CONTA CONTRATO",G38)))</formula>
    </cfRule>
    <cfRule type="cellIs" dxfId="5" priority="7" operator="greaterThan">
      <formula>0</formula>
    </cfRule>
  </conditionalFormatting>
  <conditionalFormatting sqref="I37:J39">
    <cfRule type="containsBlanks" dxfId="4" priority="5">
      <formula>LEN(TRIM(I37))=0</formula>
    </cfRule>
  </conditionalFormatting>
  <conditionalFormatting sqref="H18">
    <cfRule type="containsText" dxfId="3" priority="4" operator="containsText" text="REPRESENTANTE">
      <formula>NOT(ISERROR(SEARCH("REPRESENTANTE",H18)))</formula>
    </cfRule>
  </conditionalFormatting>
  <conditionalFormatting sqref="H19">
    <cfRule type="containsText" dxfId="2" priority="3" operator="containsText" text="CPF DO REPRESENTANTE">
      <formula>NOT(ISERROR(SEARCH("CPF DO REPRESENTANTE",H19)))</formula>
    </cfRule>
  </conditionalFormatting>
  <conditionalFormatting sqref="I18">
    <cfRule type="expression" dxfId="1" priority="2">
      <formula>H18&lt;&gt;""</formula>
    </cfRule>
  </conditionalFormatting>
  <conditionalFormatting sqref="I19">
    <cfRule type="expression" dxfId="0" priority="1">
      <formula>H19&lt;&gt;""</formula>
    </cfRule>
  </conditionalFormatting>
  <dataValidations count="7">
    <dataValidation type="whole" allowBlank="1" showInputMessage="1" showErrorMessage="1" sqref="E38:E39" xr:uid="{7E9E2CAA-73B1-4E91-AAFD-1398159E394A}">
      <formula1>0</formula1>
      <formula2>30</formula2>
    </dataValidation>
    <dataValidation type="list" allowBlank="1" showInputMessage="1" showErrorMessage="1" sqref="E20 G20" xr:uid="{57BC1A9A-5555-4FA7-93FC-E0DD73429163}">
      <formula1>"MONOFÁSICO,BIFÁSICO,TRIFÁSICO"</formula1>
    </dataValidation>
    <dataValidation type="list" allowBlank="1" showInputMessage="1" showErrorMessage="1" sqref="G21" xr:uid="{329A121B-43E1-4F42-8960-1B593A253A4A}">
      <formula1>"RESIDENCIAL,COMERCIAL,RURAL,"</formula1>
    </dataValidation>
    <dataValidation type="list" allowBlank="1" showInputMessage="1" showErrorMessage="1" sqref="E18 G18" xr:uid="{E38C9290-5198-45E9-90CE-F1B661F03F7B}">
      <formula1>"CELPE 1,CELPE 2,COELBA,COSERN,ENERGISA,EQUATORIAL,ENEL"</formula1>
    </dataValidation>
    <dataValidation type="list" allowBlank="1" showInputMessage="1" showErrorMessage="1" sqref="I27" xr:uid="{9363FEAD-9310-4F09-B2D9-1A31F5476EBC}">
      <formula1>"4 ,6 ,10 ,16 ,25 ,35 ,50 ,70 "</formula1>
    </dataValidation>
    <dataValidation type="list" allowBlank="1" showInputMessage="1" showErrorMessage="1" sqref="E21:F21" xr:uid="{9243F28E-4759-489B-BC07-E770CF1532FB}">
      <formula1>"RESIDENCIAL,COMERCIAL,RURAL,INDUSTRIAL"</formula1>
    </dataValidation>
    <dataValidation type="list" allowBlank="1" showInputMessage="1" showErrorMessage="1" sqref="D8" xr:uid="{4C86ECBB-93A7-4DB3-879D-AD9D8A00E03F}">
      <formula1>"CPF, CNPJ"</formula1>
    </dataValidation>
  </dataValidations>
  <pageMargins left="0.51181102362204722" right="0.51181102362204722" top="0.78740157480314965" bottom="0.78740157480314965" header="0.31496062992125984" footer="0.31496062992125984"/>
  <pageSetup paperSize="66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Plan1!cargaDeclarada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</dc:creator>
  <cp:lastModifiedBy>Flavio Felipe</cp:lastModifiedBy>
  <cp:lastPrinted>2025-03-20T17:58:44Z</cp:lastPrinted>
  <dcterms:created xsi:type="dcterms:W3CDTF">2020-06-15T13:11:51Z</dcterms:created>
  <dcterms:modified xsi:type="dcterms:W3CDTF">2026-01-05T20:03:39Z</dcterms:modified>
</cp:coreProperties>
</file>